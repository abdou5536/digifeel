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Ventes" state="visible" r:id="rId5"/>
    <sheet sheetId="3" name="Produits" state="visible" r:id="rId6"/>
    <sheet sheetId="4" name="Équipe" state="visible" r:id="rId7"/>
    <sheet sheetId="5" name="Avis clients" state="visible" r:id="rId8"/>
    <sheet sheetId="6" name="NFC &amp; Google" state="visible" r:id="rId9"/>
  </sheets>
  <definedNames>
    <definedName name="_xlnm.Print_Titles" localSheetId="0">'Synthèse'!$1:$2</definedName>
    <definedName name="_xlnm.Print_Titles" localSheetId="1">'Ventes'!$4:$4</definedName>
    <definedName name="_xlnm.Print_Titles" localSheetId="2">'Produits'!$4:$4</definedName>
    <definedName name="_xlnm.Print_Titles" localSheetId="3">'Équipe'!$4:$4</definedName>
    <definedName name="_xlnm.Print_Titles" localSheetId="4">'Avis clients'!$4:$4</definedName>
    <definedName name="_xlnm.Print_Titles" localSheetId="5">'NFC &amp; Google'!$1:$2</definedName>
  </definedNames>
  <calcPr calcId="171027"/>
</workbook>
</file>

<file path=xl/sharedStrings.xml><?xml version="1.0" encoding="utf-8"?>
<sst xmlns="http://schemas.openxmlformats.org/spreadsheetml/2006/main" count="296" uniqueCount="136">
  <si>
    <t>Rapport de gestion</t>
  </si>
  <si>
    <t>Le Jardin d’Oran — exemple  ·  Du 01/09/2026 au 30/09/2026 (30 jours)  ·  Données de démonstration</t>
  </si>
  <si>
    <t>Généré le 30/09/2026 23:00</t>
  </si>
  <si>
    <t>Indicateurs clés</t>
  </si>
  <si>
    <t>Indicateur</t>
  </si>
  <si>
    <t>Valeur</t>
  </si>
  <si>
    <t>Chiffre d’affaires total</t>
  </si>
  <si>
    <t>Nombre de commandes</t>
  </si>
  <si>
    <t>Panier moyen</t>
  </si>
  <si>
    <t>Produits vendus (quantité)</t>
  </si>
  <si>
    <t>Produit le plus vendu</t>
  </si>
  <si>
    <t>Couscous maison (10)</t>
  </si>
  <si>
    <t>Produit n°1 en chiffre d’affaires</t>
  </si>
  <si>
    <t>Couscous maison (18 000 DZD)</t>
  </si>
  <si>
    <t>Meilleure journée</t>
  </si>
  <si>
    <t>29/09/2026 · 6 100 DZD</t>
  </si>
  <si>
    <t>Évolution du CA (2ᵉ moitié vs 1ʳᵉ)</t>
  </si>
  <si>
    <t>Nombre d’avis clients</t>
  </si>
  <si>
    <t>Note moyenne</t>
  </si>
  <si>
    <t>Scans NFC / QR</t>
  </si>
  <si>
    <t>Ventes annulées (exclues du CA)</t>
  </si>
  <si>
    <t>Montant des ventes annulées</t>
  </si>
  <si>
    <t>Addition par mois</t>
  </si>
  <si>
    <t>Mois</t>
  </si>
  <si>
    <t>Chiffre d’affaires</t>
  </si>
  <si>
    <t>Commandes</t>
  </si>
  <si>
    <t>Septembre 2026</t>
  </si>
  <si>
    <t>Total</t>
  </si>
  <si>
    <t>Modes de paiement</t>
  </si>
  <si>
    <t>Mode</t>
  </si>
  <si>
    <t>Part du CA</t>
  </si>
  <si>
    <t>Carte</t>
  </si>
  <si>
    <t>Espèces</t>
  </si>
  <si>
    <t>BaridiMob</t>
  </si>
  <si>
    <t>Ventes et commandes</t>
  </si>
  <si>
    <t>Date</t>
  </si>
  <si>
    <t>Heure</t>
  </si>
  <si>
    <t>N° ticket</t>
  </si>
  <si>
    <t>Serveur</t>
  </si>
  <si>
    <t>Produit</t>
  </si>
  <si>
    <t>Catégorie</t>
  </si>
  <si>
    <t>Qté</t>
  </si>
  <si>
    <t>Prix unitaire</t>
  </si>
  <si>
    <t>Total ligne</t>
  </si>
  <si>
    <t>Paiement</t>
  </si>
  <si>
    <t>Total ticket</t>
  </si>
  <si>
    <t>02/09/2026</t>
  </si>
  <si>
    <t>19:30</t>
  </si>
  <si>
    <t>Samir</t>
  </si>
  <si>
    <t>Couscous maison</t>
  </si>
  <si>
    <t>Plats</t>
  </si>
  <si>
    <t>Eau minérale</t>
  </si>
  <si>
    <t>Boissons</t>
  </si>
  <si>
    <t>Salade méchouia</t>
  </si>
  <si>
    <t>Entrées</t>
  </si>
  <si>
    <t>03/09/2026</t>
  </si>
  <si>
    <t>20:05</t>
  </si>
  <si>
    <t>Yasmine</t>
  </si>
  <si>
    <t>Chorba</t>
  </si>
  <si>
    <t>Tajine de poulet</t>
  </si>
  <si>
    <t>05/09/2026</t>
  </si>
  <si>
    <t>13:00</t>
  </si>
  <si>
    <t>Poisson grillé</t>
  </si>
  <si>
    <t>Frites maison</t>
  </si>
  <si>
    <t>Accompagnements</t>
  </si>
  <si>
    <t>07/09/2026</t>
  </si>
  <si>
    <t>21:00</t>
  </si>
  <si>
    <t>Thé à la menthe</t>
  </si>
  <si>
    <t>12/09/2026</t>
  </si>
  <si>
    <t>20:00</t>
  </si>
  <si>
    <t>17/09/2026</t>
  </si>
  <si>
    <t>20:30</t>
  </si>
  <si>
    <t>23/09/2026</t>
  </si>
  <si>
    <t>19:45</t>
  </si>
  <si>
    <t>29/09/2026</t>
  </si>
  <si>
    <t>21:15</t>
  </si>
  <si>
    <t>Suivi des produits</t>
  </si>
  <si>
    <t>Rang CA</t>
  </si>
  <si>
    <t>Quantité vendue</t>
  </si>
  <si>
    <t>Prix unitaire moyen</t>
  </si>
  <si>
    <t>Rang ventes</t>
  </si>
  <si>
    <t>Équipe — activité de la période</t>
  </si>
  <si>
    <t>Rang</t>
  </si>
  <si>
    <t>Avis reçus</t>
  </si>
  <si>
    <t>Ce tableau décrit l’activité de l’équipe afin d’aider le pilotage du service.</t>
  </si>
  <si>
    <t>Avis clients</t>
  </si>
  <si>
    <t>Note</t>
  </si>
  <si>
    <t>Commentaire</t>
  </si>
  <si>
    <t>Source</t>
  </si>
  <si>
    <t>Traité</t>
  </si>
  <si>
    <t>Synthèse</t>
  </si>
  <si>
    <t>25/09/2026</t>
  </si>
  <si>
    <t>Couscous généreux et savoureux.</t>
  </si>
  <si>
    <t>NFC / QR</t>
  </si>
  <si>
    <t>Oui</t>
  </si>
  <si>
    <t>Avis au total</t>
  </si>
  <si>
    <t>22/09/2026</t>
  </si>
  <si>
    <t>Très bon thé à la menthe.</t>
  </si>
  <si>
    <t>19/09/2026</t>
  </si>
  <si>
    <t>Bon repas, attente un peu longue.</t>
  </si>
  <si>
    <t>Avis positifs (4-5 ★)</t>
  </si>
  <si>
    <t>16/09/2026</t>
  </si>
  <si>
    <t>Repas en famille, tout était parfait.</t>
  </si>
  <si>
    <t>Avis neutres (3 ★)</t>
  </si>
  <si>
    <t>13/09/2026</t>
  </si>
  <si>
    <t>Poisson très frais, merci à l’équipe.</t>
  </si>
  <si>
    <t>Avis négatifs (1-2 ★)</t>
  </si>
  <si>
    <t>10/09/2026</t>
  </si>
  <si>
    <t>Une belle adresse pour le déjeuner.</t>
  </si>
  <si>
    <t>Avec commentaire</t>
  </si>
  <si>
    <t>Très bon accueil, nous reviendrons.</t>
  </si>
  <si>
    <t>04/09/2026</t>
  </si>
  <si>
    <t>Service rapide et couscous excellent.</t>
  </si>
  <si>
    <t>Avis</t>
  </si>
  <si>
    <t>Part</t>
  </si>
  <si>
    <t>5 ★</t>
  </si>
  <si>
    <t>4 ★</t>
  </si>
  <si>
    <t>3 ★</t>
  </si>
  <si>
    <t>2 ★</t>
  </si>
  <si>
    <t>1 ★</t>
  </si>
  <si>
    <t>NFC / QR et avis Google</t>
  </si>
  <si>
    <t>Scans par jour (moyenne)</t>
  </si>
  <si>
    <t>Meilleure journée de scans</t>
  </si>
  <si>
    <t>29/09/2026 (16)</t>
  </si>
  <si>
    <t>Avis générés</t>
  </si>
  <si>
    <t>Taux de conversion scan → avis</t>
  </si>
  <si>
    <t>Redirections vers Google</t>
  </si>
  <si>
    <t>Non disponible</t>
  </si>
  <si>
    <t>Scans par emplacement / puce</t>
  </si>
  <si>
    <t>Scans par jour</t>
  </si>
  <si>
    <t>Scans</t>
  </si>
  <si>
    <t>24/09/2026</t>
  </si>
  <si>
    <t>26/09/2026</t>
  </si>
  <si>
    <t>27/09/2026</t>
  </si>
  <si>
    <t>28/09/2026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</si>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</sst>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 &quot;DZD&quot;"/>
    <numFmt numFmtId="165" formatCode="+0.0%;-0.0%;0.0%"/>
    <numFmt numFmtId="166" formatCode="0.0&quot; / 5&quot;"/>
    <numFmt numFmtId="167" formatCode="0.0%"/>
    <numFmt numFmtId="168" formatCode="#,##0&quot; ticket(s)&quot;"/>
    <numFmt numFmtId="169" formatCode="0&quot; ★&quot;"/>
    <numFmt numFmtId="170" formatCode="0.00&quot; / 5&quot;"/>
    <numFmt numFmtId="171" formatCode="0.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5A616B"/>
      <sz val="10"/>
    </font>
    <font>
      <i/>
      <color rgb="FF7A828C"/>
      <sz val="9"/>
    </font>
    <font>
      <b/>
      <color rgb="FF1B1F27"/>
      <sz val="13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B1F27"/>
      </patternFill>
    </fill>
    <fill>
      <patternFill patternType="solid">
        <fgColor rgb="FFC8963E"/>
      </patternFill>
    </fill>
    <fill>
      <patternFill patternType="solid">
        <fgColor rgb="FFFAFAFB"/>
      </patternFill>
    </fill>
    <fill>
      <patternFill patternType="solid">
        <fgColor rgb="FFF6F1E7"/>
      </patternFill>
    </fill>
  </fills>
  <borders count="3">
    <border>
      <left/>
      <right/>
      <top/>
      <bottom/>
      <diagonal/>
    </border>
    <border>
      <left style="thin">
        <color rgb="FFD9DCE0"/>
      </left>
      <right style="thin">
        <color rgb="FFD9DCE0"/>
      </right>
      <top style="thin">
        <color rgb="FFD9DCE0"/>
      </top>
      <bottom style="thin">
        <color rgb="FFD9DCE0"/>
      </bottom>
      <diagonal/>
    </border>
    <border>
      <left style="thin">
        <color rgb="FFD9DCE0"/>
      </left>
      <right style="thin">
        <color rgb="FFD9DCE0"/>
      </right>
      <top style="medium">
        <color rgb="FFC8963E"/>
      </top>
      <bottom style="thin">
        <color rgb="FFD9DC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0" fontId="6" fillId="4" borderId="1" xfId="0" applyFont="1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4" borderId="1" xfId="0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6" fillId="5" borderId="2" xfId="0" applyFont="1" applyFill="1" applyBorder="1"/>
    <xf numFmtId="164" fontId="6" fillId="5" borderId="2" xfId="0" applyNumberFormat="1" applyFont="1" applyFill="1" applyBorder="1"/>
    <xf numFmtId="167" fontId="0" fillId="0" borderId="1" xfId="0" applyNumberFormat="1" applyBorder="1" applyAlignment="1">
      <alignment vertical="top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167" fontId="0" fillId="4" borderId="1" xfId="0" applyNumberForma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168" fontId="6" fillId="5" borderId="2" xfId="0" applyNumberFormat="1" applyFont="1" applyFill="1" applyBorder="1"/>
    <xf numFmtId="167" fontId="6" fillId="5" borderId="2" xfId="0" applyNumberFormat="1" applyFont="1" applyFill="1" applyBorder="1"/>
    <xf numFmtId="166" fontId="0" fillId="0" borderId="1" xfId="0" applyNumberFormat="1" applyBorder="1" applyAlignment="1">
      <alignment horizontal="center" vertical="top"/>
    </xf>
    <xf numFmtId="166" fontId="0" fillId="4" borderId="1" xfId="0" applyNumberFormat="1" applyFill="1" applyBorder="1" applyAlignment="1">
      <alignment horizontal="center" vertical="top"/>
    </xf>
    <xf numFmtId="169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/>
    </xf>
    <xf numFmtId="169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170" fontId="0" fillId="4" borderId="1" xfId="0" applyNumberFormat="1" applyFill="1" applyBorder="1" applyAlignment="1">
      <alignment vertical="top"/>
    </xf>
    <xf numFmtId="3" fontId="0" fillId="4" borderId="1" xfId="0" applyNumberFormat="1" applyFill="1" applyBorder="1" applyAlignment="1">
      <alignment vertical="top"/>
    </xf>
    <xf numFmtId="2" fontId="0" fillId="0" borderId="1" xfId="0" applyNumberFormat="1" applyBorder="1" applyAlignment="1">
      <alignment vertical="top"/>
    </xf>
    <xf numFmtId="171" fontId="0" fillId="4" borderId="1" xfId="0" applyNumberForma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963E"/>
    <pageSetUpPr fitToPage="1"/>
  </sheetPr>
  <dimension ref="A1:E30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44" customWidth="1"/>
    <col min="3" max="5" width="18" customWidth="1"/>
    <col min="6" max="6" width="4" customWidth="1"/>
    <col min="7" max="7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s="3" t="s">
        <v>2</v>
      </c>
    </row>
    <row r="5" spans="1:1" x14ac:dyDescent="0.25">
      <c r="A5" s="4" t="s">
        <v>3</v>
      </c>
    </row>
    <row r="6" ht="24" customHeight="1" spans="1:2" x14ac:dyDescent="0.25">
      <c r="A6" s="5" t="s">
        <v>4</v>
      </c>
      <c r="B6" s="5" t="s">
        <v>5</v>
      </c>
    </row>
    <row r="7" spans="1:2" x14ac:dyDescent="0.25">
      <c r="A7" s="6" t="s">
        <v>6</v>
      </c>
      <c r="B7" s="7">
        <v>39800</v>
      </c>
    </row>
    <row r="8" spans="1:2" x14ac:dyDescent="0.25">
      <c r="A8" s="8" t="s">
        <v>7</v>
      </c>
      <c r="B8" s="9">
        <v>8</v>
      </c>
    </row>
    <row r="9" spans="1:2" x14ac:dyDescent="0.25">
      <c r="A9" s="6" t="s">
        <v>8</v>
      </c>
      <c r="B9" s="7">
        <v>4975</v>
      </c>
    </row>
    <row r="10" spans="1:2" x14ac:dyDescent="0.25">
      <c r="A10" s="8" t="s">
        <v>9</v>
      </c>
      <c r="B10" s="9">
        <v>34</v>
      </c>
    </row>
    <row r="11" spans="1:2" x14ac:dyDescent="0.25">
      <c r="A11" s="6" t="s">
        <v>10</v>
      </c>
      <c r="B11" s="10" t="s">
        <v>11</v>
      </c>
    </row>
    <row r="12" spans="1:2" x14ac:dyDescent="0.25">
      <c r="A12" s="8" t="s">
        <v>12</v>
      </c>
      <c r="B12" s="11" t="s">
        <v>13</v>
      </c>
    </row>
    <row r="13" spans="1:2" x14ac:dyDescent="0.25">
      <c r="A13" s="6" t="s">
        <v>14</v>
      </c>
      <c r="B13" s="10" t="s">
        <v>15</v>
      </c>
    </row>
    <row r="14" spans="1:2" x14ac:dyDescent="0.25">
      <c r="A14" s="8" t="s">
        <v>16</v>
      </c>
      <c r="B14" s="12">
        <v>-0.28448275862068967</v>
      </c>
    </row>
    <row r="15" spans="1:2" x14ac:dyDescent="0.25">
      <c r="A15" s="6" t="s">
        <v>17</v>
      </c>
      <c r="B15" s="13">
        <v>8</v>
      </c>
    </row>
    <row r="16" spans="1:2" x14ac:dyDescent="0.25">
      <c r="A16" s="8" t="s">
        <v>18</v>
      </c>
      <c r="B16" s="14">
        <v>4.375</v>
      </c>
    </row>
    <row r="17" spans="1:2" x14ac:dyDescent="0.25">
      <c r="A17" s="6" t="s">
        <v>19</v>
      </c>
      <c r="B17" s="13">
        <v>86</v>
      </c>
    </row>
    <row r="18" spans="1:2" x14ac:dyDescent="0.25">
      <c r="A18" s="8" t="s">
        <v>20</v>
      </c>
      <c r="B18" s="9">
        <v>1</v>
      </c>
    </row>
    <row r="19" spans="1:2" x14ac:dyDescent="0.25">
      <c r="A19" s="6" t="s">
        <v>21</v>
      </c>
      <c r="B19" s="7">
        <v>900</v>
      </c>
    </row>
    <row r="21" spans="1:1" x14ac:dyDescent="0.25">
      <c r="A21" s="4" t="s">
        <v>22</v>
      </c>
    </row>
    <row r="22" ht="24" customHeight="1" spans="1:4" x14ac:dyDescent="0.25">
      <c r="A22" s="5" t="s">
        <v>23</v>
      </c>
      <c r="B22" s="5" t="s">
        <v>24</v>
      </c>
      <c r="C22" s="5" t="s">
        <v>25</v>
      </c>
      <c r="D22" s="5" t="s">
        <v>8</v>
      </c>
    </row>
    <row r="23" spans="1:4" x14ac:dyDescent="0.25">
      <c r="A23" s="15" t="s">
        <v>26</v>
      </c>
      <c r="B23" s="16">
        <v>39800</v>
      </c>
      <c r="C23" s="15">
        <v>8</v>
      </c>
      <c r="D23" s="16">
        <v>4975</v>
      </c>
    </row>
    <row r="24" spans="1:4" x14ac:dyDescent="0.25">
      <c r="A24" s="17" t="s">
        <v>27</v>
      </c>
      <c r="B24" s="18">
        <f>SUM(B23:B23)</f>
        <v>39800</v>
      </c>
      <c r="C24" s="17">
        <f>SUM(C23:C23)</f>
        <v>8</v>
      </c>
      <c r="D24" s="18">
        <v>4975</v>
      </c>
    </row>
    <row r="26" spans="1:1" x14ac:dyDescent="0.25">
      <c r="A26" s="4" t="s">
        <v>28</v>
      </c>
    </row>
    <row r="27" ht="24" customHeight="1" spans="1:4" x14ac:dyDescent="0.25">
      <c r="A27" s="5" t="s">
        <v>29</v>
      </c>
      <c r="B27" s="5" t="s">
        <v>24</v>
      </c>
      <c r="C27" s="5" t="s">
        <v>25</v>
      </c>
      <c r="D27" s="5" t="s">
        <v>30</v>
      </c>
    </row>
    <row r="28" spans="1:4" x14ac:dyDescent="0.25">
      <c r="A28" s="15" t="s">
        <v>31</v>
      </c>
      <c r="B28" s="16">
        <v>15750</v>
      </c>
      <c r="C28" s="15">
        <v>3</v>
      </c>
      <c r="D28" s="19">
        <v>0.3957286432160804</v>
      </c>
    </row>
    <row r="29" spans="1:4" x14ac:dyDescent="0.25">
      <c r="A29" s="20" t="s">
        <v>32</v>
      </c>
      <c r="B29" s="21">
        <v>12850</v>
      </c>
      <c r="C29" s="20">
        <v>3</v>
      </c>
      <c r="D29" s="22">
        <v>0.3228643216080402</v>
      </c>
    </row>
    <row r="30" spans="1:4" x14ac:dyDescent="0.25">
      <c r="A30" s="15" t="s">
        <v>33</v>
      </c>
      <c r="B30" s="16">
        <v>11200</v>
      </c>
      <c r="C30" s="15">
        <v>2</v>
      </c>
      <c r="D30" s="19">
        <v>0.2814070351758794</v>
      </c>
    </row>
  </sheetData>
  <mergeCells count="2">
    <mergeCell ref="A1:E1"/>
    <mergeCell ref="A2:E2"/>
  </mergeCells>
  <pageMargins left="0.4" right="0.4" top="0.5" bottom="0.5" header="0.3" footer="0.3"/>
  <pageSetup paperSize="9" orientation="landscape" fitToWidth="1" fitToHeight="0"/>
  <headerFooter>
    <oddFooter>&amp;LDigiFeel&amp;CPage &amp;P /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  <pageSetUpPr fitToPage="1"/>
  </sheetPr>
  <dimension ref="A1:K2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0" customWidth="1"/>
    <col min="4" max="4" width="22" customWidth="1"/>
    <col min="5" max="5" width="30" customWidth="1"/>
    <col min="6" max="6" width="18" customWidth="1"/>
    <col min="7" max="7" width="7" customWidth="1"/>
    <col min="8" max="9" width="15" customWidth="1"/>
    <col min="10" max="10" width="13" customWidth="1"/>
    <col min="11" max="11" width="15" customWidth="1"/>
  </cols>
  <sheetData>
    <row r="1" ht="32" customHeight="1" spans="1:11" x14ac:dyDescent="0.25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4" customHeight="1" spans="1:11" x14ac:dyDescent="0.25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</row>
    <row r="5" spans="1:11" x14ac:dyDescent="0.25">
      <c r="A5" s="23" t="s">
        <v>46</v>
      </c>
      <c r="B5" s="23" t="s">
        <v>47</v>
      </c>
      <c r="C5" s="23">
        <v>121</v>
      </c>
      <c r="D5" s="15" t="s">
        <v>48</v>
      </c>
      <c r="E5" s="15" t="s">
        <v>49</v>
      </c>
      <c r="F5" s="15" t="s">
        <v>50</v>
      </c>
      <c r="G5" s="23">
        <v>2</v>
      </c>
      <c r="H5" s="16">
        <v>1800</v>
      </c>
      <c r="I5" s="16">
        <v>3600</v>
      </c>
      <c r="J5" s="23" t="s">
        <v>32</v>
      </c>
      <c r="K5" s="16">
        <v>4600</v>
      </c>
    </row>
    <row r="6" spans="1:11" x14ac:dyDescent="0.25">
      <c r="A6" s="24" t="s">
        <v>46</v>
      </c>
      <c r="B6" s="24" t="s">
        <v>47</v>
      </c>
      <c r="C6" s="24">
        <v>121</v>
      </c>
      <c r="D6" s="20" t="s">
        <v>48</v>
      </c>
      <c r="E6" s="20" t="s">
        <v>51</v>
      </c>
      <c r="F6" s="20" t="s">
        <v>52</v>
      </c>
      <c r="G6" s="24">
        <v>2</v>
      </c>
      <c r="H6" s="21">
        <v>150</v>
      </c>
      <c r="I6" s="21">
        <v>300</v>
      </c>
      <c r="J6" s="24" t="s">
        <v>32</v>
      </c>
      <c r="K6" s="21"/>
    </row>
    <row r="7" spans="1:11" x14ac:dyDescent="0.25">
      <c r="A7" s="23" t="s">
        <v>46</v>
      </c>
      <c r="B7" s="23" t="s">
        <v>47</v>
      </c>
      <c r="C7" s="23">
        <v>121</v>
      </c>
      <c r="D7" s="15" t="s">
        <v>48</v>
      </c>
      <c r="E7" s="15" t="s">
        <v>53</v>
      </c>
      <c r="F7" s="15" t="s">
        <v>54</v>
      </c>
      <c r="G7" s="23">
        <v>1</v>
      </c>
      <c r="H7" s="16">
        <v>700</v>
      </c>
      <c r="I7" s="16">
        <v>700</v>
      </c>
      <c r="J7" s="23" t="s">
        <v>32</v>
      </c>
      <c r="K7" s="16"/>
    </row>
    <row r="8" spans="1:11" x14ac:dyDescent="0.25">
      <c r="A8" s="24" t="s">
        <v>55</v>
      </c>
      <c r="B8" s="24" t="s">
        <v>56</v>
      </c>
      <c r="C8" s="24">
        <v>122</v>
      </c>
      <c r="D8" s="20" t="s">
        <v>57</v>
      </c>
      <c r="E8" s="20" t="s">
        <v>58</v>
      </c>
      <c r="F8" s="20" t="s">
        <v>54</v>
      </c>
      <c r="G8" s="24">
        <v>2</v>
      </c>
      <c r="H8" s="21">
        <v>650</v>
      </c>
      <c r="I8" s="21">
        <v>1300</v>
      </c>
      <c r="J8" s="24" t="s">
        <v>31</v>
      </c>
      <c r="K8" s="21">
        <v>3650</v>
      </c>
    </row>
    <row r="9" spans="1:11" x14ac:dyDescent="0.25">
      <c r="A9" s="23" t="s">
        <v>55</v>
      </c>
      <c r="B9" s="23" t="s">
        <v>56</v>
      </c>
      <c r="C9" s="23">
        <v>122</v>
      </c>
      <c r="D9" s="15" t="s">
        <v>57</v>
      </c>
      <c r="E9" s="15" t="s">
        <v>59</v>
      </c>
      <c r="F9" s="15" t="s">
        <v>50</v>
      </c>
      <c r="G9" s="23">
        <v>1</v>
      </c>
      <c r="H9" s="16">
        <v>2200</v>
      </c>
      <c r="I9" s="16">
        <v>2200</v>
      </c>
      <c r="J9" s="23" t="s">
        <v>31</v>
      </c>
      <c r="K9" s="16"/>
    </row>
    <row r="10" spans="1:11" x14ac:dyDescent="0.25">
      <c r="A10" s="24" t="s">
        <v>55</v>
      </c>
      <c r="B10" s="24" t="s">
        <v>56</v>
      </c>
      <c r="C10" s="24">
        <v>122</v>
      </c>
      <c r="D10" s="20" t="s">
        <v>57</v>
      </c>
      <c r="E10" s="20" t="s">
        <v>51</v>
      </c>
      <c r="F10" s="20" t="s">
        <v>52</v>
      </c>
      <c r="G10" s="24">
        <v>1</v>
      </c>
      <c r="H10" s="21">
        <v>150</v>
      </c>
      <c r="I10" s="21">
        <v>150</v>
      </c>
      <c r="J10" s="24" t="s">
        <v>31</v>
      </c>
      <c r="K10" s="21"/>
    </row>
    <row r="11" spans="1:11" x14ac:dyDescent="0.25">
      <c r="A11" s="23" t="s">
        <v>60</v>
      </c>
      <c r="B11" s="23" t="s">
        <v>61</v>
      </c>
      <c r="C11" s="23">
        <v>123</v>
      </c>
      <c r="D11" s="15" t="s">
        <v>48</v>
      </c>
      <c r="E11" s="15" t="s">
        <v>62</v>
      </c>
      <c r="F11" s="15" t="s">
        <v>50</v>
      </c>
      <c r="G11" s="23">
        <v>1</v>
      </c>
      <c r="H11" s="16">
        <v>2500</v>
      </c>
      <c r="I11" s="16">
        <v>2500</v>
      </c>
      <c r="J11" s="23" t="s">
        <v>32</v>
      </c>
      <c r="K11" s="16">
        <v>3150</v>
      </c>
    </row>
    <row r="12" spans="1:11" x14ac:dyDescent="0.25">
      <c r="A12" s="24" t="s">
        <v>60</v>
      </c>
      <c r="B12" s="24" t="s">
        <v>61</v>
      </c>
      <c r="C12" s="24">
        <v>123</v>
      </c>
      <c r="D12" s="20" t="s">
        <v>48</v>
      </c>
      <c r="E12" s="20" t="s">
        <v>63</v>
      </c>
      <c r="F12" s="20" t="s">
        <v>64</v>
      </c>
      <c r="G12" s="24">
        <v>1</v>
      </c>
      <c r="H12" s="21">
        <v>500</v>
      </c>
      <c r="I12" s="21">
        <v>500</v>
      </c>
      <c r="J12" s="24" t="s">
        <v>32</v>
      </c>
      <c r="K12" s="21"/>
    </row>
    <row r="13" spans="1:11" x14ac:dyDescent="0.25">
      <c r="A13" s="23" t="s">
        <v>60</v>
      </c>
      <c r="B13" s="23" t="s">
        <v>61</v>
      </c>
      <c r="C13" s="23">
        <v>123</v>
      </c>
      <c r="D13" s="15" t="s">
        <v>48</v>
      </c>
      <c r="E13" s="15" t="s">
        <v>51</v>
      </c>
      <c r="F13" s="15" t="s">
        <v>52</v>
      </c>
      <c r="G13" s="23">
        <v>1</v>
      </c>
      <c r="H13" s="16">
        <v>150</v>
      </c>
      <c r="I13" s="16">
        <v>150</v>
      </c>
      <c r="J13" s="23" t="s">
        <v>32</v>
      </c>
      <c r="K13" s="16"/>
    </row>
    <row r="14" spans="1:11" x14ac:dyDescent="0.25">
      <c r="A14" s="24" t="s">
        <v>65</v>
      </c>
      <c r="B14" s="24" t="s">
        <v>66</v>
      </c>
      <c r="C14" s="24">
        <v>124</v>
      </c>
      <c r="D14" s="20" t="s">
        <v>57</v>
      </c>
      <c r="E14" s="20" t="s">
        <v>49</v>
      </c>
      <c r="F14" s="20" t="s">
        <v>50</v>
      </c>
      <c r="G14" s="24">
        <v>3</v>
      </c>
      <c r="H14" s="21">
        <v>1800</v>
      </c>
      <c r="I14" s="21">
        <v>5400</v>
      </c>
      <c r="J14" s="24" t="s">
        <v>33</v>
      </c>
      <c r="K14" s="21">
        <v>5800</v>
      </c>
    </row>
    <row r="15" spans="1:11" x14ac:dyDescent="0.25">
      <c r="A15" s="23" t="s">
        <v>65</v>
      </c>
      <c r="B15" s="23" t="s">
        <v>66</v>
      </c>
      <c r="C15" s="23">
        <v>124</v>
      </c>
      <c r="D15" s="15" t="s">
        <v>57</v>
      </c>
      <c r="E15" s="15" t="s">
        <v>67</v>
      </c>
      <c r="F15" s="15" t="s">
        <v>52</v>
      </c>
      <c r="G15" s="23">
        <v>2</v>
      </c>
      <c r="H15" s="16">
        <v>200</v>
      </c>
      <c r="I15" s="16">
        <v>400</v>
      </c>
      <c r="J15" s="23" t="s">
        <v>33</v>
      </c>
      <c r="K15" s="16"/>
    </row>
    <row r="16" spans="1:11" x14ac:dyDescent="0.25">
      <c r="A16" s="24" t="s">
        <v>68</v>
      </c>
      <c r="B16" s="24" t="s">
        <v>69</v>
      </c>
      <c r="C16" s="24">
        <v>125</v>
      </c>
      <c r="D16" s="20" t="s">
        <v>48</v>
      </c>
      <c r="E16" s="20" t="s">
        <v>49</v>
      </c>
      <c r="F16" s="20" t="s">
        <v>50</v>
      </c>
      <c r="G16" s="24">
        <v>3</v>
      </c>
      <c r="H16" s="21">
        <v>1800</v>
      </c>
      <c r="I16" s="21">
        <v>5400</v>
      </c>
      <c r="J16" s="24" t="s">
        <v>31</v>
      </c>
      <c r="K16" s="21">
        <v>6000</v>
      </c>
    </row>
    <row r="17" spans="1:11" x14ac:dyDescent="0.25">
      <c r="A17" s="23" t="s">
        <v>68</v>
      </c>
      <c r="B17" s="23" t="s">
        <v>69</v>
      </c>
      <c r="C17" s="23">
        <v>125</v>
      </c>
      <c r="D17" s="15" t="s">
        <v>48</v>
      </c>
      <c r="E17" s="15" t="s">
        <v>51</v>
      </c>
      <c r="F17" s="15" t="s">
        <v>52</v>
      </c>
      <c r="G17" s="23">
        <v>4</v>
      </c>
      <c r="H17" s="16">
        <v>150</v>
      </c>
      <c r="I17" s="16">
        <v>600</v>
      </c>
      <c r="J17" s="23" t="s">
        <v>31</v>
      </c>
      <c r="K17" s="16"/>
    </row>
    <row r="18" spans="1:11" x14ac:dyDescent="0.25">
      <c r="A18" s="24" t="s">
        <v>70</v>
      </c>
      <c r="B18" s="24" t="s">
        <v>71</v>
      </c>
      <c r="C18" s="24">
        <v>126</v>
      </c>
      <c r="D18" s="20" t="s">
        <v>57</v>
      </c>
      <c r="E18" s="20" t="s">
        <v>59</v>
      </c>
      <c r="F18" s="20" t="s">
        <v>50</v>
      </c>
      <c r="G18" s="24">
        <v>2</v>
      </c>
      <c r="H18" s="21">
        <v>2200</v>
      </c>
      <c r="I18" s="21">
        <v>4400</v>
      </c>
      <c r="J18" s="24" t="s">
        <v>32</v>
      </c>
      <c r="K18" s="21">
        <v>5100</v>
      </c>
    </row>
    <row r="19" spans="1:11" x14ac:dyDescent="0.25">
      <c r="A19" s="23" t="s">
        <v>70</v>
      </c>
      <c r="B19" s="23" t="s">
        <v>71</v>
      </c>
      <c r="C19" s="23">
        <v>126</v>
      </c>
      <c r="D19" s="15" t="s">
        <v>57</v>
      </c>
      <c r="E19" s="15" t="s">
        <v>53</v>
      </c>
      <c r="F19" s="15" t="s">
        <v>54</v>
      </c>
      <c r="G19" s="23">
        <v>1</v>
      </c>
      <c r="H19" s="16">
        <v>700</v>
      </c>
      <c r="I19" s="16">
        <v>700</v>
      </c>
      <c r="J19" s="23" t="s">
        <v>32</v>
      </c>
      <c r="K19" s="16"/>
    </row>
    <row r="20" spans="1:11" x14ac:dyDescent="0.25">
      <c r="A20" s="24" t="s">
        <v>72</v>
      </c>
      <c r="B20" s="24" t="s">
        <v>73</v>
      </c>
      <c r="C20" s="24">
        <v>127</v>
      </c>
      <c r="D20" s="20" t="s">
        <v>48</v>
      </c>
      <c r="E20" s="20" t="s">
        <v>62</v>
      </c>
      <c r="F20" s="20" t="s">
        <v>50</v>
      </c>
      <c r="G20" s="24">
        <v>2</v>
      </c>
      <c r="H20" s="21">
        <v>2500</v>
      </c>
      <c r="I20" s="21">
        <v>5000</v>
      </c>
      <c r="J20" s="24" t="s">
        <v>33</v>
      </c>
      <c r="K20" s="21">
        <v>5400</v>
      </c>
    </row>
    <row r="21" spans="1:11" x14ac:dyDescent="0.25">
      <c r="A21" s="23" t="s">
        <v>72</v>
      </c>
      <c r="B21" s="23" t="s">
        <v>73</v>
      </c>
      <c r="C21" s="23">
        <v>127</v>
      </c>
      <c r="D21" s="15" t="s">
        <v>48</v>
      </c>
      <c r="E21" s="15" t="s">
        <v>67</v>
      </c>
      <c r="F21" s="15" t="s">
        <v>52</v>
      </c>
      <c r="G21" s="23">
        <v>2</v>
      </c>
      <c r="H21" s="16">
        <v>200</v>
      </c>
      <c r="I21" s="16">
        <v>400</v>
      </c>
      <c r="J21" s="23" t="s">
        <v>33</v>
      </c>
      <c r="K21" s="16"/>
    </row>
    <row r="22" spans="1:11" x14ac:dyDescent="0.25">
      <c r="A22" s="24" t="s">
        <v>74</v>
      </c>
      <c r="B22" s="24" t="s">
        <v>75</v>
      </c>
      <c r="C22" s="24">
        <v>128</v>
      </c>
      <c r="D22" s="20" t="s">
        <v>57</v>
      </c>
      <c r="E22" s="20" t="s">
        <v>49</v>
      </c>
      <c r="F22" s="20" t="s">
        <v>50</v>
      </c>
      <c r="G22" s="24">
        <v>2</v>
      </c>
      <c r="H22" s="21">
        <v>1800</v>
      </c>
      <c r="I22" s="21">
        <v>3600</v>
      </c>
      <c r="J22" s="24" t="s">
        <v>31</v>
      </c>
      <c r="K22" s="21">
        <v>6100</v>
      </c>
    </row>
    <row r="23" spans="1:11" x14ac:dyDescent="0.25">
      <c r="A23" s="23" t="s">
        <v>74</v>
      </c>
      <c r="B23" s="23" t="s">
        <v>75</v>
      </c>
      <c r="C23" s="23">
        <v>128</v>
      </c>
      <c r="D23" s="15" t="s">
        <v>57</v>
      </c>
      <c r="E23" s="15" t="s">
        <v>62</v>
      </c>
      <c r="F23" s="15" t="s">
        <v>50</v>
      </c>
      <c r="G23" s="23">
        <v>1</v>
      </c>
      <c r="H23" s="16">
        <v>2500</v>
      </c>
      <c r="I23" s="16">
        <v>2500</v>
      </c>
      <c r="J23" s="23" t="s">
        <v>31</v>
      </c>
      <c r="K23" s="16"/>
    </row>
    <row r="24" spans="1:11" x14ac:dyDescent="0.25">
      <c r="A24" s="17" t="s">
        <v>27</v>
      </c>
      <c r="B24" s="17"/>
      <c r="C24" s="25">
        <v>8</v>
      </c>
      <c r="D24" s="17"/>
      <c r="E24" s="17"/>
      <c r="F24" s="17"/>
      <c r="G24" s="17"/>
      <c r="H24" s="17"/>
      <c r="I24" s="17"/>
      <c r="J24" s="17"/>
      <c r="K24" s="18">
        <f>SUM(K5:K23)</f>
        <v>39800</v>
      </c>
    </row>
  </sheetData>
  <autoFilter ref="A4:K23"/>
  <mergeCells count="2">
    <mergeCell ref="A1:K1"/>
    <mergeCell ref="A2:K2"/>
  </mergeCells>
  <pageMargins left="0.4" right="0.4" top="0.5" bottom="0.5" header="0.3" footer="0.3"/>
  <pageSetup paperSize="9" orientation="landscape" fitToWidth="1" fitToHeight="0"/>
  <headerFooter>
    <oddFooter>&amp;LDigiFeel&amp;CPage &amp;P /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  <pageSetUpPr fitToPage="1"/>
  </sheetPr>
  <dimension ref="A1:H1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18" customWidth="1"/>
    <col min="4" max="4" width="12" customWidth="1"/>
    <col min="5" max="5" width="16" customWidth="1"/>
    <col min="6" max="6" width="17" customWidth="1"/>
    <col min="7" max="8" width="11" customWidth="1"/>
    <col min="9" max="9" width="3" customWidth="1"/>
  </cols>
  <sheetData>
    <row r="1" ht="32" customHeight="1" spans="1:8" x14ac:dyDescent="0.25">
      <c r="A1" s="1" t="s">
        <v>76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5" t="s">
        <v>77</v>
      </c>
      <c r="B4" s="5" t="s">
        <v>39</v>
      </c>
      <c r="C4" s="5" t="s">
        <v>40</v>
      </c>
      <c r="D4" s="5" t="s">
        <v>78</v>
      </c>
      <c r="E4" s="5" t="s">
        <v>79</v>
      </c>
      <c r="F4" s="5" t="s">
        <v>24</v>
      </c>
      <c r="G4" s="5" t="s">
        <v>30</v>
      </c>
      <c r="H4" s="5" t="s">
        <v>80</v>
      </c>
    </row>
    <row r="5" spans="1:8" x14ac:dyDescent="0.25">
      <c r="A5" s="23">
        <v>1</v>
      </c>
      <c r="B5" s="15" t="s">
        <v>49</v>
      </c>
      <c r="C5" s="15" t="s">
        <v>50</v>
      </c>
      <c r="D5" s="23">
        <v>10</v>
      </c>
      <c r="E5" s="16">
        <v>1800</v>
      </c>
      <c r="F5" s="16">
        <v>18000</v>
      </c>
      <c r="G5" s="19">
        <v>0.45226130653266333</v>
      </c>
      <c r="H5" s="23">
        <v>1</v>
      </c>
    </row>
    <row r="6" spans="1:8" x14ac:dyDescent="0.25">
      <c r="A6" s="24">
        <v>2</v>
      </c>
      <c r="B6" s="20" t="s">
        <v>62</v>
      </c>
      <c r="C6" s="20" t="s">
        <v>50</v>
      </c>
      <c r="D6" s="24">
        <v>4</v>
      </c>
      <c r="E6" s="21">
        <v>2500</v>
      </c>
      <c r="F6" s="21">
        <v>10000</v>
      </c>
      <c r="G6" s="22">
        <v>0.25125628140703515</v>
      </c>
      <c r="H6" s="24">
        <v>3</v>
      </c>
    </row>
    <row r="7" spans="1:8" x14ac:dyDescent="0.25">
      <c r="A7" s="23">
        <v>3</v>
      </c>
      <c r="B7" s="15" t="s">
        <v>59</v>
      </c>
      <c r="C7" s="15" t="s">
        <v>50</v>
      </c>
      <c r="D7" s="23">
        <v>3</v>
      </c>
      <c r="E7" s="16">
        <v>2200</v>
      </c>
      <c r="F7" s="16">
        <v>6600</v>
      </c>
      <c r="G7" s="19">
        <v>0.1658291457286432</v>
      </c>
      <c r="H7" s="23">
        <v>5</v>
      </c>
    </row>
    <row r="8" spans="1:8" x14ac:dyDescent="0.25">
      <c r="A8" s="24">
        <v>4</v>
      </c>
      <c r="B8" s="20" t="s">
        <v>53</v>
      </c>
      <c r="C8" s="20" t="s">
        <v>54</v>
      </c>
      <c r="D8" s="24">
        <v>2</v>
      </c>
      <c r="E8" s="21">
        <v>700</v>
      </c>
      <c r="F8" s="21">
        <v>1400</v>
      </c>
      <c r="G8" s="22">
        <v>0.035175879396984924</v>
      </c>
      <c r="H8" s="24">
        <v>6</v>
      </c>
    </row>
    <row r="9" spans="1:8" x14ac:dyDescent="0.25">
      <c r="A9" s="23">
        <v>5</v>
      </c>
      <c r="B9" s="15" t="s">
        <v>58</v>
      </c>
      <c r="C9" s="15" t="s">
        <v>54</v>
      </c>
      <c r="D9" s="23">
        <v>2</v>
      </c>
      <c r="E9" s="16">
        <v>650</v>
      </c>
      <c r="F9" s="16">
        <v>1300</v>
      </c>
      <c r="G9" s="19">
        <v>0.032663316582914576</v>
      </c>
      <c r="H9" s="23">
        <v>7</v>
      </c>
    </row>
    <row r="10" spans="1:8" x14ac:dyDescent="0.25">
      <c r="A10" s="24">
        <v>6</v>
      </c>
      <c r="B10" s="20" t="s">
        <v>51</v>
      </c>
      <c r="C10" s="20" t="s">
        <v>52</v>
      </c>
      <c r="D10" s="24">
        <v>8</v>
      </c>
      <c r="E10" s="21">
        <v>150</v>
      </c>
      <c r="F10" s="21">
        <v>1200</v>
      </c>
      <c r="G10" s="22">
        <v>0.03015075376884422</v>
      </c>
      <c r="H10" s="24">
        <v>2</v>
      </c>
    </row>
    <row r="11" spans="1:8" x14ac:dyDescent="0.25">
      <c r="A11" s="23">
        <v>7</v>
      </c>
      <c r="B11" s="15" t="s">
        <v>67</v>
      </c>
      <c r="C11" s="15" t="s">
        <v>52</v>
      </c>
      <c r="D11" s="23">
        <v>4</v>
      </c>
      <c r="E11" s="16">
        <v>200</v>
      </c>
      <c r="F11" s="16">
        <v>800</v>
      </c>
      <c r="G11" s="19">
        <v>0.020100502512562814</v>
      </c>
      <c r="H11" s="23">
        <v>4</v>
      </c>
    </row>
    <row r="12" spans="1:8" x14ac:dyDescent="0.25">
      <c r="A12" s="24">
        <v>8</v>
      </c>
      <c r="B12" s="20" t="s">
        <v>63</v>
      </c>
      <c r="C12" s="20" t="s">
        <v>64</v>
      </c>
      <c r="D12" s="24">
        <v>1</v>
      </c>
      <c r="E12" s="21">
        <v>500</v>
      </c>
      <c r="F12" s="21">
        <v>500</v>
      </c>
      <c r="G12" s="22">
        <v>0.01256281407035176</v>
      </c>
      <c r="H12" s="24">
        <v>8</v>
      </c>
    </row>
    <row r="13" spans="1:8" x14ac:dyDescent="0.25">
      <c r="A13" s="17"/>
      <c r="B13" s="17" t="s">
        <v>27</v>
      </c>
      <c r="C13" s="17"/>
      <c r="D13" s="17">
        <f>SUM(D5:D12)</f>
        <v>34</v>
      </c>
      <c r="E13" s="17"/>
      <c r="F13" s="18">
        <f>SUM(F5:F12)</f>
        <v>39800</v>
      </c>
      <c r="G13" s="26">
        <v>1</v>
      </c>
      <c r="H13" s="17"/>
    </row>
  </sheetData>
  <autoFilter ref="A4:H12"/>
  <mergeCells count="2">
    <mergeCell ref="A1:H1"/>
    <mergeCell ref="A2:H2"/>
  </mergeCells>
  <conditionalFormatting sqref="F5:F12">
    <cfRule type="dataBar" priority="1">
      <dataBar>
        <cfvo type="min"/>
        <cfvo type="max"/>
        <color rgb="FFE5C98F"/>
      </dataBar>
      <extLst>
        <ext xmlns:x14="http://schemas.microsoft.com/office/spreadsheetml/2009/9/main" uri="{B025F937-C7B1-47D3-B67F-A62EFF666E3E}">
          <x14:id>{2F9436DE-5375-47BB-89D3-F79DF5E38385}</x14:id>
        </ext>
      </extLst>
    </cfRule>
  </conditionalFormatting>
  <pageMargins left="0.4" right="0.4" top="0.5" bottom="0.5" header="0.3" footer="0.3"/>
  <pageSetup paperSize="9" orientation="landscape" fitToWidth="1" fitToHeight="0"/>
  <headerFooter>
    <oddFooter>&amp;LDigiFeel&amp;CPage &amp;P / &amp;N&amp;R&amp;D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9436DE-5375-47BB-89D3-F79DF5E38385}">
            <x14:dataBar minLength="0" maxLength="100" gradient="0">
              <x14:cfvo type="min"/>
              <x14:cfvo type="max"/>
            </x14:dataBar>
          </x14:cfRule>
          <xm:sqref>F5:F12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  <pageSetUpPr fitToPage="1"/>
  </sheetPr>
  <dimension ref="A1:G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3" customWidth="1"/>
    <col min="4" max="4" width="18" customWidth="1"/>
    <col min="5" max="5" width="16" customWidth="1"/>
    <col min="6" max="6" width="12" customWidth="1"/>
    <col min="7" max="7" width="14" customWidth="1"/>
  </cols>
  <sheetData>
    <row r="1" ht="32" customHeight="1" spans="1:7" x14ac:dyDescent="0.25">
      <c r="A1" s="1" t="s">
        <v>81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4" customHeight="1" spans="1:7" x14ac:dyDescent="0.25">
      <c r="A4" s="5" t="s">
        <v>82</v>
      </c>
      <c r="B4" s="5" t="s">
        <v>38</v>
      </c>
      <c r="C4" s="5" t="s">
        <v>25</v>
      </c>
      <c r="D4" s="5" t="s">
        <v>24</v>
      </c>
      <c r="E4" s="5" t="s">
        <v>8</v>
      </c>
      <c r="F4" s="5" t="s">
        <v>83</v>
      </c>
      <c r="G4" s="5" t="s">
        <v>18</v>
      </c>
    </row>
    <row r="5" spans="1:7" x14ac:dyDescent="0.25">
      <c r="A5" s="23">
        <v>1</v>
      </c>
      <c r="B5" s="15" t="s">
        <v>57</v>
      </c>
      <c r="C5" s="23">
        <v>4</v>
      </c>
      <c r="D5" s="16">
        <v>20650</v>
      </c>
      <c r="E5" s="16">
        <v>5162.5</v>
      </c>
      <c r="F5" s="23">
        <v>4</v>
      </c>
      <c r="G5" s="27">
        <v>4.25</v>
      </c>
    </row>
    <row r="6" spans="1:7" x14ac:dyDescent="0.25">
      <c r="A6" s="24">
        <v>2</v>
      </c>
      <c r="B6" s="20" t="s">
        <v>48</v>
      </c>
      <c r="C6" s="24">
        <v>4</v>
      </c>
      <c r="D6" s="21">
        <v>19150</v>
      </c>
      <c r="E6" s="21">
        <v>4787.5</v>
      </c>
      <c r="F6" s="24">
        <v>4</v>
      </c>
      <c r="G6" s="28">
        <v>4.5</v>
      </c>
    </row>
    <row r="7" spans="1:7" x14ac:dyDescent="0.25">
      <c r="A7" s="17"/>
      <c r="B7" s="17" t="s">
        <v>27</v>
      </c>
      <c r="C7" s="17">
        <f>SUM(C5:C6)</f>
        <v>8</v>
      </c>
      <c r="D7" s="18">
        <f>SUM(D5:D6)</f>
        <v>39800</v>
      </c>
      <c r="E7" s="17"/>
      <c r="F7" s="17">
        <f>SUM(F5:F6)</f>
        <v>8</v>
      </c>
      <c r="G7" s="17"/>
    </row>
    <row r="9" spans="2:2" x14ac:dyDescent="0.25">
      <c r="B9" s="3" t="s">
        <v>84</v>
      </c>
    </row>
  </sheetData>
  <autoFilter ref="A4:G6"/>
  <mergeCells count="2">
    <mergeCell ref="A1:G1"/>
    <mergeCell ref="A2:G2"/>
  </mergeCells>
  <conditionalFormatting sqref="D5:D6">
    <cfRule type="dataBar" priority="1">
      <dataBar>
        <cfvo type="min"/>
        <cfvo type="max"/>
        <color rgb="FFE5C98F"/>
      </dataBar>
      <extLst>
        <ext xmlns:x14="http://schemas.microsoft.com/office/spreadsheetml/2009/9/main" uri="{B025F937-C7B1-47D3-B67F-A62EFF666E3E}">
          <x14:id>{477417D7-879E-451C-B015-05CE2741AD5D}</x14:id>
        </ext>
      </extLst>
    </cfRule>
  </conditionalFormatting>
  <pageMargins left="0.4" right="0.4" top="0.5" bottom="0.5" header="0.3" footer="0.3"/>
  <pageSetup paperSize="9" orientation="landscape" fitToWidth="1" fitToHeight="0"/>
  <headerFooter>
    <oddFooter>&amp;LDigiFeel&amp;CPage &amp;P / &amp;N&amp;R&amp;D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7417D7-879E-451C-B015-05CE2741AD5D}">
            <x14:dataBar minLength="0" maxLength="100" gradient="0">
              <x14:cfvo type="min"/>
              <x14:cfvo type="max"/>
            </x14:dataBar>
          </x14:cfRule>
          <xm:sqref>D5:D6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J2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3" max="3" width="56" customWidth="1"/>
    <col min="4" max="4" width="20" customWidth="1"/>
    <col min="5" max="5" width="16" customWidth="1"/>
    <col min="6" max="6" width="10" customWidth="1"/>
    <col min="7" max="7" width="3" customWidth="1"/>
    <col min="8" max="8" width="24" customWidth="1"/>
    <col min="9" max="10" width="12" customWidth="1"/>
  </cols>
  <sheetData>
    <row r="1" ht="32" customHeight="1" spans="1:10" x14ac:dyDescent="0.25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4" customHeight="1" spans="1:8" x14ac:dyDescent="0.25">
      <c r="A4" s="5" t="s">
        <v>35</v>
      </c>
      <c r="B4" s="5" t="s">
        <v>86</v>
      </c>
      <c r="C4" s="5" t="s">
        <v>87</v>
      </c>
      <c r="D4" s="5" t="s">
        <v>38</v>
      </c>
      <c r="E4" s="5" t="s">
        <v>88</v>
      </c>
      <c r="F4" s="5" t="s">
        <v>89</v>
      </c>
      <c r="H4" s="4" t="s">
        <v>90</v>
      </c>
    </row>
    <row r="5" spans="1:9" x14ac:dyDescent="0.25">
      <c r="A5" s="23" t="s">
        <v>91</v>
      </c>
      <c r="B5" s="29">
        <v>5</v>
      </c>
      <c r="C5" s="30" t="s">
        <v>92</v>
      </c>
      <c r="D5" s="15" t="s">
        <v>57</v>
      </c>
      <c r="E5" s="23" t="s">
        <v>93</v>
      </c>
      <c r="F5" s="23" t="s">
        <v>94</v>
      </c>
      <c r="H5" s="15" t="s">
        <v>95</v>
      </c>
      <c r="I5" s="31">
        <v>8</v>
      </c>
    </row>
    <row r="6" spans="1:9" x14ac:dyDescent="0.25">
      <c r="A6" s="24" t="s">
        <v>96</v>
      </c>
      <c r="B6" s="32">
        <v>4</v>
      </c>
      <c r="C6" s="33" t="s">
        <v>97</v>
      </c>
      <c r="D6" s="20" t="s">
        <v>48</v>
      </c>
      <c r="E6" s="24" t="s">
        <v>93</v>
      </c>
      <c r="F6" s="24" t="s">
        <v>94</v>
      </c>
      <c r="H6" s="20" t="s">
        <v>18</v>
      </c>
      <c r="I6" s="34">
        <v>4.375</v>
      </c>
    </row>
    <row r="7" spans="1:9" x14ac:dyDescent="0.25">
      <c r="A7" s="23" t="s">
        <v>98</v>
      </c>
      <c r="B7" s="29">
        <v>3</v>
      </c>
      <c r="C7" s="30" t="s">
        <v>99</v>
      </c>
      <c r="D7" s="15" t="s">
        <v>57</v>
      </c>
      <c r="E7" s="23" t="s">
        <v>93</v>
      </c>
      <c r="F7" s="23" t="s">
        <v>94</v>
      </c>
      <c r="H7" s="15" t="s">
        <v>100</v>
      </c>
      <c r="I7" s="31">
        <v>7</v>
      </c>
    </row>
    <row r="8" spans="1:9" x14ac:dyDescent="0.25">
      <c r="A8" s="24" t="s">
        <v>101</v>
      </c>
      <c r="B8" s="32">
        <v>5</v>
      </c>
      <c r="C8" s="33" t="s">
        <v>102</v>
      </c>
      <c r="D8" s="20" t="s">
        <v>48</v>
      </c>
      <c r="E8" s="24" t="s">
        <v>93</v>
      </c>
      <c r="F8" s="24" t="s">
        <v>94</v>
      </c>
      <c r="H8" s="20" t="s">
        <v>103</v>
      </c>
      <c r="I8" s="35">
        <v>1</v>
      </c>
    </row>
    <row r="9" spans="1:9" x14ac:dyDescent="0.25">
      <c r="A9" s="23" t="s">
        <v>104</v>
      </c>
      <c r="B9" s="29">
        <v>4</v>
      </c>
      <c r="C9" s="30" t="s">
        <v>105</v>
      </c>
      <c r="D9" s="15" t="s">
        <v>48</v>
      </c>
      <c r="E9" s="23" t="s">
        <v>93</v>
      </c>
      <c r="F9" s="23" t="s">
        <v>94</v>
      </c>
      <c r="H9" s="15" t="s">
        <v>106</v>
      </c>
      <c r="I9" s="31">
        <v>0</v>
      </c>
    </row>
    <row r="10" spans="1:9" x14ac:dyDescent="0.25">
      <c r="A10" s="24" t="s">
        <v>107</v>
      </c>
      <c r="B10" s="32">
        <v>5</v>
      </c>
      <c r="C10" s="33" t="s">
        <v>108</v>
      </c>
      <c r="D10" s="20" t="s">
        <v>57</v>
      </c>
      <c r="E10" s="24" t="s">
        <v>93</v>
      </c>
      <c r="F10" s="24" t="s">
        <v>94</v>
      </c>
      <c r="H10" s="20" t="s">
        <v>109</v>
      </c>
      <c r="I10" s="35">
        <v>8</v>
      </c>
    </row>
    <row r="11" spans="1:6" x14ac:dyDescent="0.25">
      <c r="A11" s="23" t="s">
        <v>65</v>
      </c>
      <c r="B11" s="29">
        <v>4</v>
      </c>
      <c r="C11" s="30" t="s">
        <v>110</v>
      </c>
      <c r="D11" s="15" t="s">
        <v>57</v>
      </c>
      <c r="E11" s="23" t="s">
        <v>93</v>
      </c>
      <c r="F11" s="23" t="s">
        <v>94</v>
      </c>
    </row>
    <row r="12" spans="1:6" x14ac:dyDescent="0.25">
      <c r="A12" s="24" t="s">
        <v>111</v>
      </c>
      <c r="B12" s="32">
        <v>5</v>
      </c>
      <c r="C12" s="33" t="s">
        <v>112</v>
      </c>
      <c r="D12" s="20" t="s">
        <v>48</v>
      </c>
      <c r="E12" s="24" t="s">
        <v>93</v>
      </c>
      <c r="F12" s="24" t="s">
        <v>94</v>
      </c>
    </row>
    <row r="13" ht="24" customHeight="1" spans="8:10" x14ac:dyDescent="0.25">
      <c r="H13" s="5" t="s">
        <v>86</v>
      </c>
      <c r="I13" s="5" t="s">
        <v>113</v>
      </c>
      <c r="J13" s="5" t="s">
        <v>114</v>
      </c>
    </row>
    <row r="14" spans="8:10" x14ac:dyDescent="0.25">
      <c r="H14" s="15" t="s">
        <v>115</v>
      </c>
      <c r="I14" s="15">
        <v>4</v>
      </c>
      <c r="J14" s="19">
        <v>0.5</v>
      </c>
    </row>
    <row r="15" spans="8:10" x14ac:dyDescent="0.25">
      <c r="H15" s="20" t="s">
        <v>116</v>
      </c>
      <c r="I15" s="20">
        <v>3</v>
      </c>
      <c r="J15" s="22">
        <v>0.375</v>
      </c>
    </row>
    <row r="16" spans="8:10" x14ac:dyDescent="0.25">
      <c r="H16" s="15" t="s">
        <v>117</v>
      </c>
      <c r="I16" s="15">
        <v>1</v>
      </c>
      <c r="J16" s="19">
        <v>0.125</v>
      </c>
    </row>
    <row r="17" spans="8:10" x14ac:dyDescent="0.25">
      <c r="H17" s="20" t="s">
        <v>118</v>
      </c>
      <c r="I17" s="20">
        <v>0</v>
      </c>
      <c r="J17" s="22">
        <v>0</v>
      </c>
    </row>
    <row r="18" spans="8:10" x14ac:dyDescent="0.25">
      <c r="H18" s="15" t="s">
        <v>119</v>
      </c>
      <c r="I18" s="15">
        <v>0</v>
      </c>
      <c r="J18" s="19">
        <v>0</v>
      </c>
    </row>
    <row r="20" ht="24" customHeight="1" spans="8:10" x14ac:dyDescent="0.25">
      <c r="H20" s="5" t="s">
        <v>23</v>
      </c>
      <c r="I20" s="5" t="s">
        <v>86</v>
      </c>
      <c r="J20" s="5" t="s">
        <v>113</v>
      </c>
    </row>
    <row r="21" spans="8:10" x14ac:dyDescent="0.25">
      <c r="H21" s="15" t="s">
        <v>26</v>
      </c>
      <c r="I21" s="36">
        <v>4.375</v>
      </c>
      <c r="J21" s="15">
        <v>8</v>
      </c>
    </row>
  </sheetData>
  <autoFilter ref="A4:F12"/>
  <mergeCells count="2">
    <mergeCell ref="A1:J1"/>
    <mergeCell ref="A2:J2"/>
  </mergeCells>
  <pageMargins left="0.4" right="0.4" top="0.5" bottom="0.5" header="0.3" footer="0.3"/>
  <pageSetup paperSize="9" orientation="landscape" fitToWidth="1" fitToHeight="0"/>
  <headerFooter>
    <oddFooter>&amp;LDigiFeel&amp;CPage &amp;P / &amp;N&amp;R&amp;D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  <pageSetUpPr fitToPage="1"/>
  </sheetPr>
  <dimension ref="A1:E21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6" customWidth="1"/>
    <col min="3" max="3" width="4" customWidth="1"/>
    <col min="4" max="4" width="14" customWidth="1"/>
    <col min="5" max="5" width="12" customWidth="1"/>
  </cols>
  <sheetData>
    <row r="1" ht="32" customHeight="1" spans="1:5" x14ac:dyDescent="0.25">
      <c r="A1" s="1" t="s">
        <v>120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4" customHeight="1" spans="1:2" x14ac:dyDescent="0.25">
      <c r="A4" s="5" t="s">
        <v>4</v>
      </c>
      <c r="B4" s="5" t="s">
        <v>5</v>
      </c>
    </row>
    <row r="5" spans="1:2" x14ac:dyDescent="0.25">
      <c r="A5" s="15" t="s">
        <v>19</v>
      </c>
      <c r="B5" s="13">
        <v>86</v>
      </c>
    </row>
    <row r="6" spans="1:2" x14ac:dyDescent="0.25">
      <c r="A6" s="20" t="s">
        <v>121</v>
      </c>
      <c r="B6" s="37">
        <v>2.8666666666666667</v>
      </c>
    </row>
    <row r="7" spans="1:2" x14ac:dyDescent="0.25">
      <c r="A7" s="15" t="s">
        <v>122</v>
      </c>
      <c r="B7" s="10" t="s">
        <v>123</v>
      </c>
    </row>
    <row r="8" spans="1:2" x14ac:dyDescent="0.25">
      <c r="A8" s="20" t="s">
        <v>124</v>
      </c>
      <c r="B8" s="9">
        <v>8</v>
      </c>
    </row>
    <row r="9" spans="1:2" x14ac:dyDescent="0.25">
      <c r="A9" s="15" t="s">
        <v>125</v>
      </c>
      <c r="B9" s="38">
        <v>0.09302325581395349</v>
      </c>
    </row>
    <row r="10" spans="1:2" x14ac:dyDescent="0.25">
      <c r="A10" s="20" t="s">
        <v>126</v>
      </c>
      <c r="B10" s="11" t="s">
        <v>127</v>
      </c>
    </row>
    <row r="11" spans="1:2" x14ac:dyDescent="0.25">
      <c r="A11" s="15" t="s">
        <v>128</v>
      </c>
      <c r="B11" s="10" t="s">
        <v>127</v>
      </c>
    </row>
    <row r="13" spans="1:1" x14ac:dyDescent="0.25">
      <c r="A13" s="4" t="s">
        <v>129</v>
      </c>
    </row>
    <row r="14" ht="24" customHeight="1" spans="1:2" x14ac:dyDescent="0.25">
      <c r="A14" s="5" t="s">
        <v>35</v>
      </c>
      <c r="B14" s="5" t="s">
        <v>130</v>
      </c>
    </row>
    <row r="15" spans="1:2" x14ac:dyDescent="0.25">
      <c r="A15" s="15" t="s">
        <v>131</v>
      </c>
      <c r="B15" s="15">
        <v>8</v>
      </c>
    </row>
    <row r="16" spans="1:2" x14ac:dyDescent="0.25">
      <c r="A16" s="20" t="s">
        <v>91</v>
      </c>
      <c r="B16" s="20">
        <v>11</v>
      </c>
    </row>
    <row r="17" spans="1:2" x14ac:dyDescent="0.25">
      <c r="A17" s="15" t="s">
        <v>132</v>
      </c>
      <c r="B17" s="15">
        <v>13</v>
      </c>
    </row>
    <row r="18" spans="1:2" x14ac:dyDescent="0.25">
      <c r="A18" s="20" t="s">
        <v>133</v>
      </c>
      <c r="B18" s="20">
        <v>10</v>
      </c>
    </row>
    <row r="19" spans="1:2" x14ac:dyDescent="0.25">
      <c r="A19" s="15" t="s">
        <v>134</v>
      </c>
      <c r="B19" s="15">
        <v>15</v>
      </c>
    </row>
    <row r="20" spans="1:2" x14ac:dyDescent="0.25">
      <c r="A20" s="20" t="s">
        <v>74</v>
      </c>
      <c r="B20" s="20">
        <v>16</v>
      </c>
    </row>
    <row r="21" spans="1:2" x14ac:dyDescent="0.25">
      <c r="A21" s="15" t="s">
        <v>135</v>
      </c>
      <c r="B21" s="15">
        <v>13</v>
      </c>
    </row>
  </sheetData>
  <mergeCells count="2">
    <mergeCell ref="A1:E1"/>
    <mergeCell ref="A2:E2"/>
  </mergeCells>
  <conditionalFormatting sqref="B15:B21">
    <cfRule type="dataBar" priority="1">
      <dataBar>
        <cfvo type="min"/>
        <cfvo type="max"/>
        <color rgb="FFE5C98F"/>
      </dataBar>
      <extLst>
        <ext xmlns:x14="http://schemas.microsoft.com/office/spreadsheetml/2009/9/main" uri="{B025F937-C7B1-47D3-B67F-A62EFF666E3E}">
          <x14:id>{C17474DC-DF7F-4C2F-9F7B-5B91F413021C}</x14:id>
        </ext>
      </extLst>
    </cfRule>
  </conditionalFormatting>
  <pageMargins left="0.4" right="0.4" top="0.5" bottom="0.5" header="0.3" footer="0.3"/>
  <pageSetup paperSize="9" orientation="landscape" fitToWidth="1" fitToHeight="0"/>
  <headerFooter>
    <oddFooter>&amp;LDigiFeel&amp;CPage &amp;P / &amp;N&amp;R&amp;D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7474DC-DF7F-4C2F-9F7B-5B91F413021C}">
            <x14:dataBar minLength="0" maxLength="100" gradient="0">
              <x14:cfvo type="min"/>
              <x14:cfvo type="max"/>
            </x14:dataBar>
          </x14:cfRule>
          <xm:sqref>B15:B21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Synthèse</vt:lpstr>
      <vt:lpstr>Ventes</vt:lpstr>
      <vt:lpstr>Produits</vt:lpstr>
      <vt:lpstr>Équipe</vt:lpstr>
      <vt:lpstr>Avis clients</vt:lpstr>
      <vt:lpstr>NFC &amp; Google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DigiFeel</dc:creator>
  <dc:title>Rapport Le Jardin d’Oran — exemple</dc:title>
  <dc:subject/>
  <dc:description/>
  <cp:keywords/>
  <cp:category/>
  <cp:lastModifiedBy>Unknown</cp:lastModifiedBy>
  <dcterms:created xsi:type="dcterms:W3CDTF">2026-09-30T22:00:00Z</dcterms:created>
  <dcterms:modified xsi:type="dcterms:W3CDTF">2026-10-10T14:54:08Z</dcterms:modified>
</cp:coreProperties>
</file>